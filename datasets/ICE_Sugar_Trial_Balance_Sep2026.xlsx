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ial_Balance" sheetId="1" state="visible" r:id="rId3"/>
    <sheet name="Target_BS_Forma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<sst xmlns="http://schemas.openxmlformats.org/spreadsheetml/2006/main" count="127" uniqueCount="123">
  <si>
    <t xml:space="preserve">ICE Sugar Ltd (fictional) — Trial balance as at 30 September 2026 — MUR '000 (YTD P&amp;L Jan–Sep 2026; not yet closed to retained earnings)</t>
  </si>
  <si>
    <t xml:space="preserve">Account code</t>
  </si>
  <si>
    <t xml:space="preserve">Account name</t>
  </si>
  <si>
    <t xml:space="preserve">Debit</t>
  </si>
  <si>
    <t xml:space="preserve">Credit</t>
  </si>
  <si>
    <t xml:space="preserve">1010</t>
  </si>
  <si>
    <t xml:space="preserve">Freehold land</t>
  </si>
  <si>
    <t xml:space="preserve">1020</t>
  </si>
  <si>
    <t xml:space="preserve">Buildings &amp; factory plant - cost</t>
  </si>
  <si>
    <t xml:space="preserve">1021</t>
  </si>
  <si>
    <t xml:space="preserve">Buildings &amp; factory plant - accumulated depreciation</t>
  </si>
  <si>
    <t xml:space="preserve">1110</t>
  </si>
  <si>
    <t xml:space="preserve">Bearer plants (cane) - net</t>
  </si>
  <si>
    <t xml:space="preserve">1200</t>
  </si>
  <si>
    <t xml:space="preserve">Investment in subsidiary - ICE Energy Ltd</t>
  </si>
  <si>
    <t xml:space="preserve">1310</t>
  </si>
  <si>
    <t xml:space="preserve">Inventory - raw sugar</t>
  </si>
  <si>
    <t xml:space="preserve">1320</t>
  </si>
  <si>
    <t xml:space="preserve">Inventory - stores &amp; spares</t>
  </si>
  <si>
    <t xml:space="preserve">1330</t>
  </si>
  <si>
    <t xml:space="preserve">Biological assets - standing cane</t>
  </si>
  <si>
    <t xml:space="preserve">1410</t>
  </si>
  <si>
    <t xml:space="preserve">Trade receivables</t>
  </si>
  <si>
    <t xml:space="preserve">1420</t>
  </si>
  <si>
    <t xml:space="preserve">Amount receivable from ICE Energy Ltd</t>
  </si>
  <si>
    <t xml:space="preserve">1430</t>
  </si>
  <si>
    <t xml:space="preserve">Prepayments</t>
  </si>
  <si>
    <t xml:space="preserve">1440</t>
  </si>
  <si>
    <t xml:space="preserve">VAT receivable</t>
  </si>
  <si>
    <t xml:space="preserve">1510</t>
  </si>
  <si>
    <t xml:space="preserve">Cash at bank - MCB current</t>
  </si>
  <si>
    <t xml:space="preserve">1520</t>
  </si>
  <si>
    <t xml:space="preserve">Cash at bank - USD account</t>
  </si>
  <si>
    <t xml:space="preserve">2010</t>
  </si>
  <si>
    <t xml:space="preserve">Share capital</t>
  </si>
  <si>
    <t xml:space="preserve">2020</t>
  </si>
  <si>
    <t xml:space="preserve">Revaluation reserve</t>
  </si>
  <si>
    <t xml:space="preserve">2030</t>
  </si>
  <si>
    <t xml:space="preserve">Retained earnings - brought forward</t>
  </si>
  <si>
    <t xml:space="preserve">2110</t>
  </si>
  <si>
    <t xml:space="preserve">Long-term borrowings - USD term loan</t>
  </si>
  <si>
    <t xml:space="preserve">2120</t>
  </si>
  <si>
    <t xml:space="preserve">Long-term borrowings - MUR bank loan</t>
  </si>
  <si>
    <t xml:space="preserve">2130</t>
  </si>
  <si>
    <t xml:space="preserve">Deferred tax liability</t>
  </si>
  <si>
    <t xml:space="preserve">2140</t>
  </si>
  <si>
    <t xml:space="preserve">Retirement benefit obligations</t>
  </si>
  <si>
    <t xml:space="preserve">2210</t>
  </si>
  <si>
    <t xml:space="preserve">Trade payables</t>
  </si>
  <si>
    <t xml:space="preserve">2220</t>
  </si>
  <si>
    <t xml:space="preserve">Accruals</t>
  </si>
  <si>
    <t xml:space="preserve">2230</t>
  </si>
  <si>
    <t xml:space="preserve">Amounts due to planters</t>
  </si>
  <si>
    <t xml:space="preserve">2240</t>
  </si>
  <si>
    <t xml:space="preserve">Bank overdraft</t>
  </si>
  <si>
    <t xml:space="preserve">2250</t>
  </si>
  <si>
    <t xml:space="preserve">Current portion of long-term borrowings</t>
  </si>
  <si>
    <t xml:space="preserve">2260</t>
  </si>
  <si>
    <t xml:space="preserve">Income tax payable</t>
  </si>
  <si>
    <t xml:space="preserve">4010</t>
  </si>
  <si>
    <t xml:space="preserve">Revenue - sugar sales</t>
  </si>
  <si>
    <t xml:space="preserve">4020</t>
  </si>
  <si>
    <t xml:space="preserve">Revenue - molasses</t>
  </si>
  <si>
    <t xml:space="preserve">4030</t>
  </si>
  <si>
    <t xml:space="preserve">Other income - bagasse sold to ICE Energy</t>
  </si>
  <si>
    <t xml:space="preserve">5010</t>
  </si>
  <si>
    <t xml:space="preserve">Cost of cane - planters</t>
  </si>
  <si>
    <t xml:space="preserve">5020</t>
  </si>
  <si>
    <t xml:space="preserve">Harvest &amp; transport</t>
  </si>
  <si>
    <t xml:space="preserve">5030</t>
  </si>
  <si>
    <t xml:space="preserve">Factory processing costs</t>
  </si>
  <si>
    <t xml:space="preserve">5040</t>
  </si>
  <si>
    <t xml:space="preserve">Staff costs</t>
  </si>
  <si>
    <t xml:space="preserve">5050</t>
  </si>
  <si>
    <t xml:space="preserve">Depreciation</t>
  </si>
  <si>
    <t xml:space="preserve">5060</t>
  </si>
  <si>
    <t xml:space="preserve">Administrative expenses</t>
  </si>
  <si>
    <t xml:space="preserve">6010</t>
  </si>
  <si>
    <t xml:space="preserve">Finance costs</t>
  </si>
  <si>
    <t xml:space="preserve">6020</t>
  </si>
  <si>
    <t xml:space="preserve">Foreign exchange loss</t>
  </si>
  <si>
    <t xml:space="preserve">7010</t>
  </si>
  <si>
    <t xml:space="preserve">Income tax expense</t>
  </si>
  <si>
    <t xml:space="preserve">TOTAL</t>
  </si>
  <si>
    <t xml:space="preserve">ICE Sugar Ltd — STATEMENT OF FINANCIAL POSITION (house format)</t>
  </si>
  <si>
    <t xml:space="preserve">30 Sep 2026</t>
  </si>
  <si>
    <t xml:space="preserve">31 Dec 2025 (approved example)</t>
  </si>
  <si>
    <t xml:space="preserve">ASSETS</t>
  </si>
  <si>
    <t xml:space="preserve">Non-current assets</t>
  </si>
  <si>
    <t xml:space="preserve">Property, plant and equipment</t>
  </si>
  <si>
    <t xml:space="preserve">Bearer plants</t>
  </si>
  <si>
    <t xml:space="preserve">Investment in subsidiary</t>
  </si>
  <si>
    <t xml:space="preserve">Total non-current assets</t>
  </si>
  <si>
    <t xml:space="preserve">Current assets</t>
  </si>
  <si>
    <t xml:space="preserve">Inventories</t>
  </si>
  <si>
    <t xml:space="preserve">Biological assets</t>
  </si>
  <si>
    <t xml:space="preserve">Trade and other receivables</t>
  </si>
  <si>
    <t xml:space="preserve">Amounts due from group companies</t>
  </si>
  <si>
    <t xml:space="preserve">Cash and cash equivalents</t>
  </si>
  <si>
    <t xml:space="preserve">Total current assets</t>
  </si>
  <si>
    <t xml:space="preserve">TOTAL ASSETS</t>
  </si>
  <si>
    <t xml:space="preserve">EQUITY AND LIABILITIES</t>
  </si>
  <si>
    <t xml:space="preserve">Equity</t>
  </si>
  <si>
    <t xml:space="preserve">Retained earnings</t>
  </si>
  <si>
    <t xml:space="preserve">Total equity</t>
  </si>
  <si>
    <t xml:space="preserve">Non-current liabilities</t>
  </si>
  <si>
    <t xml:space="preserve">Borrowings</t>
  </si>
  <si>
    <t xml:space="preserve">Total non-current liabilities</t>
  </si>
  <si>
    <t xml:space="preserve">Current liabilities</t>
  </si>
  <si>
    <t xml:space="preserve">Trade and other payables</t>
  </si>
  <si>
    <t xml:space="preserve">Borrowings (incl. overdraft)</t>
  </si>
  <si>
    <t xml:space="preserve">Current tax liability</t>
  </si>
  <si>
    <t xml:space="preserve">Total current liabilities</t>
  </si>
  <si>
    <t xml:space="preserve">TOTAL EQUITY AND LIABILITIES</t>
  </si>
  <si>
    <t xml:space="preserve">HOUSE RULES (from the approved Dec-2025 statement):</t>
  </si>
  <si>
    <t xml:space="preserve">1. Figures in MUR '000, no decimals, negatives in brackets.</t>
  </si>
  <si>
    <t xml:space="preserve">2. PPE shown net of accumulated depreciation.</t>
  </si>
  <si>
    <t xml:space="preserve">3. Inventories = raw sugar + stores &amp; spares. Biological assets shown separately.</t>
  </si>
  <si>
    <t xml:space="preserve">4. Trade and other receivables = trade receivables + prepayments + VAT receivable (group balances shown separately).</t>
  </si>
  <si>
    <t xml:space="preserve">5. Cash and cash equivalents = all bank accounts; overdraft is NOT netted — it goes in current borrowings.</t>
  </si>
  <si>
    <t xml:space="preserve">6. Retained earnings = brought-forward balance + profit for the period (the TB still holds YTD P&amp;L accounts).</t>
  </si>
  <si>
    <t xml:space="preserve">7. Trade and other payables = trade payables + accruals + amounts due to planters.</t>
  </si>
  <si>
    <t xml:space="preserve">8. Total assets must equal total equity and liabilities — show the check.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</si>
</sst>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E3A5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E3A5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0" t="s">
        <v>5</v>
      </c>
      <c r="B3" s="0" t="s">
        <v>6</v>
      </c>
      <c r="C3" s="3" t="n">
        <v>1850000</v>
      </c>
      <c r="D3" s="3"/>
    </row>
    <row r="4" customFormat="false" ht="15" hidden="false" customHeight="false" outlineLevel="0" collapsed="false">
      <c r="A4" s="0" t="s">
        <v>7</v>
      </c>
      <c r="B4" s="0" t="s">
        <v>8</v>
      </c>
      <c r="C4" s="3" t="n">
        <v>4200000</v>
      </c>
      <c r="D4" s="3"/>
    </row>
    <row r="5" customFormat="false" ht="15" hidden="false" customHeight="false" outlineLevel="0" collapsed="false">
      <c r="A5" s="0" t="s">
        <v>9</v>
      </c>
      <c r="B5" s="0" t="s">
        <v>10</v>
      </c>
      <c r="C5" s="3"/>
      <c r="D5" s="3" t="n">
        <v>1960000</v>
      </c>
    </row>
    <row r="6" customFormat="false" ht="15" hidden="false" customHeight="false" outlineLevel="0" collapsed="false">
      <c r="A6" s="0" t="s">
        <v>11</v>
      </c>
      <c r="B6" s="0" t="s">
        <v>12</v>
      </c>
      <c r="C6" s="3" t="n">
        <v>310000</v>
      </c>
      <c r="D6" s="3"/>
    </row>
    <row r="7" customFormat="false" ht="15" hidden="false" customHeight="false" outlineLevel="0" collapsed="false">
      <c r="A7" s="0" t="s">
        <v>13</v>
      </c>
      <c r="B7" s="0" t="s">
        <v>14</v>
      </c>
      <c r="C7" s="3" t="n">
        <v>900000</v>
      </c>
      <c r="D7" s="3"/>
    </row>
    <row r="8" customFormat="false" ht="15" hidden="false" customHeight="false" outlineLevel="0" collapsed="false">
      <c r="A8" s="0" t="s">
        <v>15</v>
      </c>
      <c r="B8" s="0" t="s">
        <v>16</v>
      </c>
      <c r="C8" s="3" t="n">
        <v>410000</v>
      </c>
      <c r="D8" s="3"/>
    </row>
    <row r="9" customFormat="false" ht="15" hidden="false" customHeight="false" outlineLevel="0" collapsed="false">
      <c r="A9" s="0" t="s">
        <v>17</v>
      </c>
      <c r="B9" s="0" t="s">
        <v>18</v>
      </c>
      <c r="C9" s="3" t="n">
        <v>185000</v>
      </c>
      <c r="D9" s="3"/>
    </row>
    <row r="10" customFormat="false" ht="15" hidden="false" customHeight="false" outlineLevel="0" collapsed="false">
      <c r="A10" s="0" t="s">
        <v>19</v>
      </c>
      <c r="B10" s="0" t="s">
        <v>20</v>
      </c>
      <c r="C10" s="3" t="n">
        <v>240000</v>
      </c>
      <c r="D10" s="3"/>
    </row>
    <row r="11" customFormat="false" ht="15" hidden="false" customHeight="false" outlineLevel="0" collapsed="false">
      <c r="A11" s="0" t="s">
        <v>21</v>
      </c>
      <c r="B11" s="0" t="s">
        <v>22</v>
      </c>
      <c r="C11" s="3" t="n">
        <v>365000</v>
      </c>
      <c r="D11" s="3"/>
    </row>
    <row r="12" customFormat="false" ht="15" hidden="false" customHeight="false" outlineLevel="0" collapsed="false">
      <c r="A12" s="0" t="s">
        <v>23</v>
      </c>
      <c r="B12" s="0" t="s">
        <v>24</v>
      </c>
      <c r="C12" s="3" t="n">
        <v>48600</v>
      </c>
      <c r="D12" s="3"/>
    </row>
    <row r="13" customFormat="false" ht="15" hidden="false" customHeight="false" outlineLevel="0" collapsed="false">
      <c r="A13" s="0" t="s">
        <v>25</v>
      </c>
      <c r="B13" s="0" t="s">
        <v>26</v>
      </c>
      <c r="C13" s="3" t="n">
        <v>22000</v>
      </c>
      <c r="D13" s="3"/>
    </row>
    <row r="14" customFormat="false" ht="15" hidden="false" customHeight="false" outlineLevel="0" collapsed="false">
      <c r="A14" s="0" t="s">
        <v>27</v>
      </c>
      <c r="B14" s="0" t="s">
        <v>28</v>
      </c>
      <c r="C14" s="3" t="n">
        <v>14000</v>
      </c>
      <c r="D14" s="3"/>
    </row>
    <row r="15" customFormat="false" ht="15" hidden="false" customHeight="false" outlineLevel="0" collapsed="false">
      <c r="A15" s="0" t="s">
        <v>29</v>
      </c>
      <c r="B15" s="0" t="s">
        <v>30</v>
      </c>
      <c r="C15" s="3" t="n">
        <v>71400</v>
      </c>
      <c r="D15" s="3"/>
    </row>
    <row r="16" customFormat="false" ht="15" hidden="false" customHeight="false" outlineLevel="0" collapsed="false">
      <c r="A16" s="0" t="s">
        <v>31</v>
      </c>
      <c r="B16" s="0" t="s">
        <v>32</v>
      </c>
      <c r="C16" s="3" t="n">
        <v>25000</v>
      </c>
      <c r="D16" s="3"/>
    </row>
    <row r="17" customFormat="false" ht="15" hidden="false" customHeight="false" outlineLevel="0" collapsed="false">
      <c r="A17" s="0" t="s">
        <v>33</v>
      </c>
      <c r="B17" s="0" t="s">
        <v>34</v>
      </c>
      <c r="C17" s="3"/>
      <c r="D17" s="3" t="n">
        <v>1500000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3"/>
      <c r="D18" s="3" t="n">
        <v>1620000</v>
      </c>
    </row>
    <row r="19" customFormat="false" ht="15" hidden="false" customHeight="false" outlineLevel="0" collapsed="false">
      <c r="A19" s="0" t="s">
        <v>37</v>
      </c>
      <c r="B19" s="0" t="s">
        <v>38</v>
      </c>
      <c r="C19" s="3"/>
      <c r="D19" s="3" t="n">
        <v>91400</v>
      </c>
    </row>
    <row r="20" customFormat="false" ht="15" hidden="false" customHeight="false" outlineLevel="0" collapsed="false">
      <c r="A20" s="0" t="s">
        <v>39</v>
      </c>
      <c r="B20" s="0" t="s">
        <v>40</v>
      </c>
      <c r="C20" s="3"/>
      <c r="D20" s="3" t="n">
        <v>1240000</v>
      </c>
    </row>
    <row r="21" customFormat="false" ht="15" hidden="false" customHeight="false" outlineLevel="0" collapsed="false">
      <c r="A21" s="0" t="s">
        <v>41</v>
      </c>
      <c r="B21" s="0" t="s">
        <v>42</v>
      </c>
      <c r="C21" s="3"/>
      <c r="D21" s="3" t="n">
        <v>620000</v>
      </c>
    </row>
    <row r="22" customFormat="false" ht="15" hidden="false" customHeight="false" outlineLevel="0" collapsed="false">
      <c r="A22" s="0" t="s">
        <v>43</v>
      </c>
      <c r="B22" s="0" t="s">
        <v>44</v>
      </c>
      <c r="C22" s="3"/>
      <c r="D22" s="3" t="n">
        <v>210000</v>
      </c>
    </row>
    <row r="23" customFormat="false" ht="15" hidden="false" customHeight="false" outlineLevel="0" collapsed="false">
      <c r="A23" s="0" t="s">
        <v>45</v>
      </c>
      <c r="B23" s="0" t="s">
        <v>46</v>
      </c>
      <c r="C23" s="3"/>
      <c r="D23" s="3" t="n">
        <v>175000</v>
      </c>
    </row>
    <row r="24" customFormat="false" ht="15" hidden="false" customHeight="false" outlineLevel="0" collapsed="false">
      <c r="A24" s="0" t="s">
        <v>47</v>
      </c>
      <c r="B24" s="0" t="s">
        <v>48</v>
      </c>
      <c r="C24" s="3"/>
      <c r="D24" s="3" t="n">
        <v>298000</v>
      </c>
    </row>
    <row r="25" customFormat="false" ht="15" hidden="false" customHeight="false" outlineLevel="0" collapsed="false">
      <c r="A25" s="0" t="s">
        <v>49</v>
      </c>
      <c r="B25" s="0" t="s">
        <v>50</v>
      </c>
      <c r="C25" s="3"/>
      <c r="D25" s="3" t="n">
        <v>84000</v>
      </c>
    </row>
    <row r="26" customFormat="false" ht="15" hidden="false" customHeight="false" outlineLevel="0" collapsed="false">
      <c r="A26" s="0" t="s">
        <v>51</v>
      </c>
      <c r="B26" s="0" t="s">
        <v>52</v>
      </c>
      <c r="C26" s="3"/>
      <c r="D26" s="3" t="n">
        <v>126000</v>
      </c>
    </row>
    <row r="27" customFormat="false" ht="15" hidden="false" customHeight="false" outlineLevel="0" collapsed="false">
      <c r="A27" s="0" t="s">
        <v>53</v>
      </c>
      <c r="B27" s="0" t="s">
        <v>54</v>
      </c>
      <c r="C27" s="3"/>
      <c r="D27" s="3" t="n">
        <v>58000</v>
      </c>
    </row>
    <row r="28" customFormat="false" ht="15" hidden="false" customHeight="false" outlineLevel="0" collapsed="false">
      <c r="A28" s="0" t="s">
        <v>55</v>
      </c>
      <c r="B28" s="0" t="s">
        <v>56</v>
      </c>
      <c r="C28" s="3"/>
      <c r="D28" s="3" t="n">
        <v>140000</v>
      </c>
    </row>
    <row r="29" customFormat="false" ht="15" hidden="false" customHeight="false" outlineLevel="0" collapsed="false">
      <c r="A29" s="0" t="s">
        <v>57</v>
      </c>
      <c r="B29" s="0" t="s">
        <v>58</v>
      </c>
      <c r="C29" s="3"/>
      <c r="D29" s="3" t="n">
        <v>12000</v>
      </c>
    </row>
    <row r="30" customFormat="false" ht="15" hidden="false" customHeight="false" outlineLevel="0" collapsed="false">
      <c r="A30" s="0" t="s">
        <v>59</v>
      </c>
      <c r="B30" s="0" t="s">
        <v>60</v>
      </c>
      <c r="C30" s="3"/>
      <c r="D30" s="3" t="n">
        <v>2950000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3"/>
      <c r="D31" s="3" t="n">
        <v>96000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3"/>
      <c r="D32" s="3" t="n">
        <v>168000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3" t="n">
        <v>1240000</v>
      </c>
      <c r="D33" s="3"/>
    </row>
    <row r="34" customFormat="false" ht="15" hidden="false" customHeight="false" outlineLevel="0" collapsed="false">
      <c r="A34" s="0" t="s">
        <v>67</v>
      </c>
      <c r="B34" s="0" t="s">
        <v>68</v>
      </c>
      <c r="C34" s="3" t="n">
        <v>260000</v>
      </c>
      <c r="D34" s="3"/>
    </row>
    <row r="35" customFormat="false" ht="15" hidden="false" customHeight="false" outlineLevel="0" collapsed="false">
      <c r="A35" s="0" t="s">
        <v>69</v>
      </c>
      <c r="B35" s="0" t="s">
        <v>70</v>
      </c>
      <c r="C35" s="3" t="n">
        <v>340000</v>
      </c>
      <c r="D35" s="3"/>
    </row>
    <row r="36" customFormat="false" ht="15" hidden="false" customHeight="false" outlineLevel="0" collapsed="false">
      <c r="A36" s="0" t="s">
        <v>71</v>
      </c>
      <c r="B36" s="0" t="s">
        <v>72</v>
      </c>
      <c r="C36" s="3" t="n">
        <v>395000</v>
      </c>
      <c r="D36" s="3"/>
    </row>
    <row r="37" customFormat="false" ht="15" hidden="false" customHeight="false" outlineLevel="0" collapsed="false">
      <c r="A37" s="0" t="s">
        <v>73</v>
      </c>
      <c r="B37" s="0" t="s">
        <v>74</v>
      </c>
      <c r="C37" s="3" t="n">
        <v>189000</v>
      </c>
      <c r="D37" s="3"/>
    </row>
    <row r="38" customFormat="false" ht="15" hidden="false" customHeight="false" outlineLevel="0" collapsed="false">
      <c r="A38" s="0" t="s">
        <v>75</v>
      </c>
      <c r="B38" s="0" t="s">
        <v>76</v>
      </c>
      <c r="C38" s="3" t="n">
        <v>106000</v>
      </c>
      <c r="D38" s="3"/>
    </row>
    <row r="39" customFormat="false" ht="15" hidden="false" customHeight="false" outlineLevel="0" collapsed="false">
      <c r="A39" s="0" t="s">
        <v>77</v>
      </c>
      <c r="B39" s="0" t="s">
        <v>78</v>
      </c>
      <c r="C39" s="3" t="n">
        <v>118000</v>
      </c>
      <c r="D39" s="3"/>
    </row>
    <row r="40" customFormat="false" ht="15" hidden="false" customHeight="false" outlineLevel="0" collapsed="false">
      <c r="A40" s="0" t="s">
        <v>79</v>
      </c>
      <c r="B40" s="0" t="s">
        <v>80</v>
      </c>
      <c r="C40" s="3" t="n">
        <v>21400</v>
      </c>
      <c r="D40" s="3"/>
    </row>
    <row r="41" customFormat="false" ht="15" hidden="false" customHeight="false" outlineLevel="0" collapsed="false">
      <c r="A41" s="0" t="s">
        <v>81</v>
      </c>
      <c r="B41" s="0" t="s">
        <v>82</v>
      </c>
      <c r="C41" s="3" t="n">
        <v>38000</v>
      </c>
      <c r="D41" s="3"/>
    </row>
    <row r="42" customFormat="false" ht="15" hidden="false" customHeight="false" outlineLevel="0" collapsed="false">
      <c r="B42" s="4" t="s">
        <v>83</v>
      </c>
      <c r="C42" s="3" t="n">
        <f aca="false">SUM(C3:C41)</f>
        <v>11348400</v>
      </c>
      <c r="D42" s="3" t="n">
        <f aca="false">SUM(D3:D41)</f>
        <v>11348400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28"/>
  </cols>
  <sheetData>
    <row r="1" customFormat="false" ht="26.85" hidden="false" customHeight="false" outlineLevel="0" collapsed="false">
      <c r="A1" s="2" t="s">
        <v>84</v>
      </c>
      <c r="B1" s="2" t="s">
        <v>85</v>
      </c>
      <c r="C1" s="2" t="s">
        <v>86</v>
      </c>
    </row>
    <row r="2" customFormat="false" ht="15" hidden="false" customHeight="false" outlineLevel="0" collapsed="false">
      <c r="A2" s="4" t="s">
        <v>87</v>
      </c>
      <c r="C2" s="3"/>
    </row>
    <row r="3" customFormat="false" ht="15" hidden="false" customHeight="false" outlineLevel="0" collapsed="false">
      <c r="A3" s="4" t="s">
        <v>88</v>
      </c>
      <c r="C3" s="3"/>
    </row>
    <row r="4" customFormat="false" ht="15" hidden="false" customHeight="false" outlineLevel="0" collapsed="false">
      <c r="A4" s="0" t="s">
        <v>89</v>
      </c>
      <c r="C4" s="3" t="n">
        <v>3985000</v>
      </c>
    </row>
    <row r="5" customFormat="false" ht="15" hidden="false" customHeight="false" outlineLevel="0" collapsed="false">
      <c r="A5" s="0" t="s">
        <v>90</v>
      </c>
      <c r="C5" s="3" t="n">
        <v>305000</v>
      </c>
    </row>
    <row r="6" customFormat="false" ht="15" hidden="false" customHeight="false" outlineLevel="0" collapsed="false">
      <c r="A6" s="0" t="s">
        <v>91</v>
      </c>
      <c r="C6" s="3" t="n">
        <v>900000</v>
      </c>
    </row>
    <row r="7" customFormat="false" ht="15" hidden="false" customHeight="false" outlineLevel="0" collapsed="false">
      <c r="A7" s="4" t="s">
        <v>92</v>
      </c>
      <c r="C7" s="3" t="n">
        <v>5190000</v>
      </c>
    </row>
    <row r="8" customFormat="false" ht="15" hidden="false" customHeight="false" outlineLevel="0" collapsed="false">
      <c r="A8" s="4" t="s">
        <v>93</v>
      </c>
      <c r="C8" s="3"/>
    </row>
    <row r="9" customFormat="false" ht="15" hidden="false" customHeight="false" outlineLevel="0" collapsed="false">
      <c r="A9" s="0" t="s">
        <v>94</v>
      </c>
      <c r="C9" s="3" t="n">
        <v>512000</v>
      </c>
    </row>
    <row r="10" customFormat="false" ht="15" hidden="false" customHeight="false" outlineLevel="0" collapsed="false">
      <c r="A10" s="0" t="s">
        <v>95</v>
      </c>
      <c r="C10" s="3" t="n">
        <v>95000</v>
      </c>
    </row>
    <row r="11" customFormat="false" ht="15" hidden="false" customHeight="false" outlineLevel="0" collapsed="false">
      <c r="A11" s="0" t="s">
        <v>96</v>
      </c>
      <c r="C11" s="3" t="n">
        <v>402000</v>
      </c>
    </row>
    <row r="12" customFormat="false" ht="15" hidden="false" customHeight="false" outlineLevel="0" collapsed="false">
      <c r="A12" s="0" t="s">
        <v>97</v>
      </c>
      <c r="C12" s="3" t="n">
        <v>41200</v>
      </c>
    </row>
    <row r="13" customFormat="false" ht="15" hidden="false" customHeight="false" outlineLevel="0" collapsed="false">
      <c r="A13" s="0" t="s">
        <v>98</v>
      </c>
      <c r="C13" s="3" t="n">
        <v>118000</v>
      </c>
    </row>
    <row r="14" customFormat="false" ht="15" hidden="false" customHeight="false" outlineLevel="0" collapsed="false">
      <c r="A14" s="4" t="s">
        <v>99</v>
      </c>
      <c r="C14" s="3" t="n">
        <v>1168200</v>
      </c>
    </row>
    <row r="15" customFormat="false" ht="15" hidden="false" customHeight="false" outlineLevel="0" collapsed="false">
      <c r="A15" s="4" t="s">
        <v>100</v>
      </c>
      <c r="C15" s="3" t="n">
        <v>6358200</v>
      </c>
    </row>
    <row r="16" customFormat="false" ht="15" hidden="false" customHeight="false" outlineLevel="0" collapsed="false">
      <c r="C16" s="3"/>
    </row>
    <row r="17" customFormat="false" ht="15" hidden="false" customHeight="false" outlineLevel="0" collapsed="false">
      <c r="A17" s="4" t="s">
        <v>101</v>
      </c>
      <c r="C17" s="3"/>
    </row>
    <row r="18" customFormat="false" ht="15" hidden="false" customHeight="false" outlineLevel="0" collapsed="false">
      <c r="A18" s="4" t="s">
        <v>102</v>
      </c>
      <c r="C18" s="3"/>
    </row>
    <row r="19" customFormat="false" ht="15" hidden="false" customHeight="false" outlineLevel="0" collapsed="false">
      <c r="A19" s="0" t="s">
        <v>34</v>
      </c>
      <c r="C19" s="3" t="n">
        <v>1500000</v>
      </c>
    </row>
    <row r="20" customFormat="false" ht="15" hidden="false" customHeight="false" outlineLevel="0" collapsed="false">
      <c r="A20" s="0" t="s">
        <v>36</v>
      </c>
      <c r="C20" s="3" t="n">
        <v>1620000</v>
      </c>
    </row>
    <row r="21" customFormat="false" ht="15" hidden="false" customHeight="false" outlineLevel="0" collapsed="false">
      <c r="A21" s="0" t="s">
        <v>103</v>
      </c>
      <c r="C21" s="3" t="n">
        <v>91400</v>
      </c>
    </row>
    <row r="22" customFormat="false" ht="15" hidden="false" customHeight="false" outlineLevel="0" collapsed="false">
      <c r="A22" s="4" t="s">
        <v>104</v>
      </c>
      <c r="C22" s="3" t="n">
        <v>3211400</v>
      </c>
    </row>
    <row r="23" customFormat="false" ht="15" hidden="false" customHeight="false" outlineLevel="0" collapsed="false">
      <c r="A23" s="4" t="s">
        <v>105</v>
      </c>
      <c r="C23" s="3"/>
    </row>
    <row r="24" customFormat="false" ht="15" hidden="false" customHeight="false" outlineLevel="0" collapsed="false">
      <c r="A24" s="0" t="s">
        <v>106</v>
      </c>
      <c r="C24" s="3" t="n">
        <v>1905000</v>
      </c>
    </row>
    <row r="25" customFormat="false" ht="15" hidden="false" customHeight="false" outlineLevel="0" collapsed="false">
      <c r="A25" s="0" t="s">
        <v>44</v>
      </c>
      <c r="C25" s="3" t="n">
        <v>205000</v>
      </c>
    </row>
    <row r="26" customFormat="false" ht="15" hidden="false" customHeight="false" outlineLevel="0" collapsed="false">
      <c r="A26" s="0" t="s">
        <v>46</v>
      </c>
      <c r="C26" s="3" t="n">
        <v>170000</v>
      </c>
    </row>
    <row r="27" customFormat="false" ht="15" hidden="false" customHeight="false" outlineLevel="0" collapsed="false">
      <c r="A27" s="4" t="s">
        <v>107</v>
      </c>
      <c r="C27" s="3" t="n">
        <v>2280000</v>
      </c>
    </row>
    <row r="28" customFormat="false" ht="15" hidden="false" customHeight="false" outlineLevel="0" collapsed="false">
      <c r="A28" s="4" t="s">
        <v>108</v>
      </c>
      <c r="C28" s="3"/>
    </row>
    <row r="29" customFormat="false" ht="15" hidden="false" customHeight="false" outlineLevel="0" collapsed="false">
      <c r="A29" s="0" t="s">
        <v>109</v>
      </c>
      <c r="C29" s="3" t="n">
        <v>468000</v>
      </c>
    </row>
    <row r="30" customFormat="false" ht="15" hidden="false" customHeight="false" outlineLevel="0" collapsed="false">
      <c r="A30" s="0" t="s">
        <v>110</v>
      </c>
      <c r="C30" s="3" t="n">
        <v>389800</v>
      </c>
    </row>
    <row r="31" customFormat="false" ht="15" hidden="false" customHeight="false" outlineLevel="0" collapsed="false">
      <c r="A31" s="0" t="s">
        <v>111</v>
      </c>
      <c r="C31" s="3" t="n">
        <v>9000</v>
      </c>
    </row>
    <row r="32" customFormat="false" ht="15" hidden="false" customHeight="false" outlineLevel="0" collapsed="false">
      <c r="A32" s="4" t="s">
        <v>112</v>
      </c>
      <c r="C32" s="3" t="n">
        <v>866800</v>
      </c>
    </row>
    <row r="33" customFormat="false" ht="15" hidden="false" customHeight="false" outlineLevel="0" collapsed="false">
      <c r="A33" s="4" t="s">
        <v>113</v>
      </c>
      <c r="C33" s="3" t="n">
        <v>6358200</v>
      </c>
    </row>
    <row r="35" customFormat="false" ht="15" hidden="false" customHeight="false" outlineLevel="0" collapsed="false">
      <c r="A35" s="5" t="s">
        <v>114</v>
      </c>
    </row>
    <row r="36" customFormat="false" ht="15" hidden="false" customHeight="false" outlineLevel="0" collapsed="false">
      <c r="A36" s="0" t="s">
        <v>115</v>
      </c>
    </row>
    <row r="37" customFormat="false" ht="15" hidden="false" customHeight="false" outlineLevel="0" collapsed="false">
      <c r="A37" s="0" t="s">
        <v>116</v>
      </c>
    </row>
    <row r="38" customFormat="false" ht="15" hidden="false" customHeight="false" outlineLevel="0" collapsed="false">
      <c r="A38" s="0" t="s">
        <v>117</v>
      </c>
    </row>
    <row r="39" customFormat="false" ht="15" hidden="false" customHeight="false" outlineLevel="0" collapsed="false">
      <c r="A39" s="0" t="s">
        <v>118</v>
      </c>
    </row>
    <row r="40" customFormat="false" ht="15" hidden="false" customHeight="false" outlineLevel="0" collapsed="false">
      <c r="A40" s="0" t="s">
        <v>119</v>
      </c>
    </row>
    <row r="41" customFormat="false" ht="15" hidden="false" customHeight="false" outlineLevel="0" collapsed="false">
      <c r="A41" s="0" t="s">
        <v>120</v>
      </c>
    </row>
    <row r="42" customFormat="false" ht="15" hidden="false" customHeight="false" outlineLevel="0" collapsed="false">
      <c r="A42" s="0" t="s">
        <v>121</v>
      </c>
    </row>
    <row r="43" customFormat="false" ht="15" hidden="false" customHeight="false" outlineLevel="0" collapsed="false">
      <c r="A43" s="0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2026-10-28T13:04:04Z</dcterms:created>
  <dc:creator>openpyxl</dc:creator>
  <dc:description/>
  <dc:language>en-IN</dc:language>
  <cp:lastModifiedBy/>
  <dcterms:modified xsi:type="dcterms:W3CDTF">2026-10-28T13:04:04Z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